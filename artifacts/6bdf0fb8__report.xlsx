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ederated Roles" sheetId="2" state="visible" r:id="rId4"/>
    <sheet name="Trust Policies" sheetId="3" state="visible" r:id="rId5"/>
    <sheet name="Identity Providers" sheetId="4" state="visible" r:id="rId6"/>
    <sheet name="CloudTrail 90d" sheetId="5" state="visible" r:id="rId7"/>
    <sheet name="Methodolog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<sst xmlns="http://schemas.openxmlformats.org/spreadsheetml/2006/main" count="314" uniqueCount="185">
  <si>
    <t xml:space="preserve">Federated IAM role cleanup report</t>
  </si>
  <si>
    <t xml:space="preserve">Account</t>
  </si>
  <si>
    <t xml:space="preserve">123456789012</t>
  </si>
  <si>
    <t xml:space="preserve">Scanner identity</t>
  </si>
  <si>
    <t xml:space="preserve">arn:aws:iam::123456789012:user/security-auditor</t>
  </si>
  <si>
    <t xml:space="preserve">Generated at (UTC)</t>
  </si>
  <si>
    <t xml:space="preserve">2026-07-02T08:26:00Z</t>
  </si>
  <si>
    <t xml:space="preserve">Unused threshold</t>
  </si>
  <si>
    <t xml:space="preserve">90 days</t>
  </si>
  <si>
    <t xml:space="preserve">CloudTrail lookup</t>
  </si>
  <si>
    <t xml:space="preserve">yes</t>
  </si>
  <si>
    <t xml:space="preserve">Headline counts</t>
  </si>
  <si>
    <t xml:space="preserve">Total federated roles</t>
  </si>
  <si>
    <t xml:space="preserve">  unused ≥ 90d</t>
  </si>
  <si>
    <t xml:space="preserve">  unconstrained trust</t>
  </si>
  <si>
    <t xml:space="preserve">  wildcard-all-workflows</t>
  </si>
  <si>
    <t xml:space="preserve">  recommend DELETE</t>
  </si>
  <si>
    <t xml:space="preserve">  recommend TIGHTEN</t>
  </si>
  <si>
    <t xml:space="preserve">By issuer class</t>
  </si>
  <si>
    <t xml:space="preserve">Issuer</t>
  </si>
  <si>
    <t xml:space="preserve">Roles</t>
  </si>
  <si>
    <t xml:space="preserve">github-actions</t>
  </si>
  <si>
    <t xml:space="preserve">gitlab</t>
  </si>
  <si>
    <t xml:space="preserve">eks-irsa</t>
  </si>
  <si>
    <t xml:space="preserve">okta</t>
  </si>
  <si>
    <t xml:space="preserve">Risk flag legend</t>
  </si>
  <si>
    <t xml:space="preserve">CRITICAL</t>
  </si>
  <si>
    <t xml:space="preserve">Federated role has no aud or sub condition — any workflow in any repo can assume it.</t>
  </si>
  <si>
    <t xml:space="preserve">HIGH</t>
  </si>
  <si>
    <t xml:space="preserve">sub condition uses a repo-wide wildcard (repo:org/repo:*).</t>
  </si>
  <si>
    <t xml:space="preserve">HARDENING</t>
  </si>
  <si>
    <t xml:space="preserve">Trust policy present but not tight (missing aud, StringLike, etc).</t>
  </si>
  <si>
    <t xml:space="preserve">UNUSED</t>
  </si>
  <si>
    <t xml:space="preserve">Role has not been assumed in ≥ 90 days.</t>
  </si>
  <si>
    <t xml:space="preserve">MISSING</t>
  </si>
  <si>
    <t xml:space="preserve">No permissions boundary attached — blast radius is unbounded.</t>
  </si>
  <si>
    <t xml:space="preserve">LONG_SESSION</t>
  </si>
  <si>
    <t xml:space="preserve">max_session_duration &gt; 1 hour.</t>
  </si>
  <si>
    <t xml:space="preserve">One row per federated IAM role</t>
  </si>
  <si>
    <t xml:space="preserve">Total roles:</t>
  </si>
  <si>
    <t xml:space="preserve">DELETE:</t>
  </si>
  <si>
    <t xml:space="preserve">TIGHTEN:</t>
  </si>
  <si>
    <t xml:space="preserve">Role name</t>
  </si>
  <si>
    <t xml:space="preserve">Role ARN</t>
  </si>
  <si>
    <t xml:space="preserve">Issuer class</t>
  </si>
  <si>
    <t xml:space="preserve">Provider URL</t>
  </si>
  <si>
    <t xml:space="preserve">Last used (days ago)</t>
  </si>
  <si>
    <t xml:space="preserve">Last used region</t>
  </si>
  <si>
    <t xml:space="preserve">Created</t>
  </si>
  <si>
    <t xml:space="preserve">MaxSession (s)</t>
  </si>
  <si>
    <t xml:space="preserve">Permissions boundary</t>
  </si>
  <si>
    <t xml:space="preserve">aud op</t>
  </si>
  <si>
    <t xml:space="preserve">sub op</t>
  </si>
  <si>
    <t xml:space="preserve">sub values</t>
  </si>
  <si>
    <t xml:space="preserve">Risk score</t>
  </si>
  <si>
    <t xml:space="preserve">Risk flags</t>
  </si>
  <si>
    <t xml:space="preserve">Recommendation</t>
  </si>
  <si>
    <t xml:space="preserve">any-github-poc</t>
  </si>
  <si>
    <t xml:space="preserve">arn:aws:iam::123456789012:role/any-github-poc</t>
  </si>
  <si>
    <t xml:space="preserve">token.actions.githubusercontent.com</t>
  </si>
  <si>
    <t xml:space="preserve">us-east-1</t>
  </si>
  <si>
    <t xml:space="preserve">2023-09-30T18:22:00Z</t>
  </si>
  <si>
    <t xml:space="preserve">-</t>
  </si>
  <si>
    <t xml:space="preserve">CRITICAL:unconstrained_trust
UNUSED:132_days
MISSING:no_permissions_boundary
LONG_SESSION:14400s</t>
  </si>
  <si>
    <t xml:space="preserve">DELETE - unconstrained + unused</t>
  </si>
  <si>
    <t xml:space="preserve">legacy-github-deploy</t>
  </si>
  <si>
    <t xml:space="preserve">arn:aws:iam::123456789012:role/legacy-github-deploy</t>
  </si>
  <si>
    <t xml:space="preserve">2024-02-14T11:08:00Z</t>
  </si>
  <si>
    <t xml:space="preserve">StringEquals</t>
  </si>
  <si>
    <t xml:space="preserve">StringLike</t>
  </si>
  <si>
    <t xml:space="preserve">repo:odisena/otel-collector-infra:*</t>
  </si>
  <si>
    <t xml:space="preserve">HIGH:sub_wildcards_repo
MISSING:no_permissions_boundary</t>
  </si>
  <si>
    <t xml:space="preserve">TIGHTEN - narrow sub condition, add boundary</t>
  </si>
  <si>
    <t xml:space="preserve">gitlab-ci-terraform-plan</t>
  </si>
  <si>
    <t xml:space="preserve">arn:aws:iam::123456789012:role/gitlab-ci-terraform-plan</t>
  </si>
  <si>
    <t xml:space="preserve">gitlab.com</t>
  </si>
  <si>
    <t xml:space="preserve">us-east-2</t>
  </si>
  <si>
    <t xml:space="preserve">2024-11-05T13:00:00Z</t>
  </si>
  <si>
    <t xml:space="preserve">arn:aws:iam::123456789012:policy/ReadOnlyBoundary</t>
  </si>
  <si>
    <t xml:space="preserve">project_path:odisena/infra:ref_type:branch:ref:main</t>
  </si>
  <si>
    <t xml:space="preserve">UNUSED:213_days</t>
  </si>
  <si>
    <t xml:space="preserve">DELETE - unused &gt; threshold</t>
  </si>
  <si>
    <t xml:space="preserve">okta-eng-poweruser</t>
  </si>
  <si>
    <t xml:space="preserve">arn:aws:iam::123456789012:role/okta-eng-poweruser</t>
  </si>
  <si>
    <t xml:space="preserve">arn:aws:iam::123456789012:saml-provider/okta-workforce</t>
  </si>
  <si>
    <t xml:space="preserve">2024-05-11T09:00:00Z</t>
  </si>
  <si>
    <t xml:space="preserve">MISSING:no_permissions_boundary
LONG_SESSION:7200s</t>
  </si>
  <si>
    <t xml:space="preserve">ADD - attach permissions boundary</t>
  </si>
  <si>
    <t xml:space="preserve">gha-otel-collector-deploy</t>
  </si>
  <si>
    <t xml:space="preserve">arn:aws:iam::123456789012:role/gha-otel-collector-deploy</t>
  </si>
  <si>
    <t xml:space="preserve">2026-06-28T15:44:00Z</t>
  </si>
  <si>
    <t xml:space="preserve">arn:aws:iam::123456789012:policy/OtelDeployBoundary</t>
  </si>
  <si>
    <t xml:space="preserve">repo:odisena/otel-collector-infra:ref:refs/heads/main</t>
  </si>
  <si>
    <t xml:space="preserve">OK - keep</t>
  </si>
  <si>
    <t xml:space="preserve">eks-otel-collector-sa</t>
  </si>
  <si>
    <t xml:space="preserve">arn:aws:iam::123456789012:role/eks-otel-collector-sa</t>
  </si>
  <si>
    <t xml:space="preserve">oidc.eks.us-east-1.amazonaws.com/id/EXAMPLED539D4633E53DE1B71EXAMPLE</t>
  </si>
  <si>
    <t xml:space="preserve">2025-09-01T10:00:00Z</t>
  </si>
  <si>
    <t xml:space="preserve">system:serviceaccount:observability:otel-collector</t>
  </si>
  <si>
    <t xml:space="preserve">Trust-policy hardening detail</t>
  </si>
  <si>
    <t xml:space="preserve">Web identity?</t>
  </si>
  <si>
    <t xml:space="preserve">SAML?</t>
  </si>
  <si>
    <t xml:space="preserve">Has aud?</t>
  </si>
  <si>
    <t xml:space="preserve">Audiences</t>
  </si>
  <si>
    <t xml:space="preserve">Has sub?</t>
  </si>
  <si>
    <t xml:space="preserve">Sub wildcards repo?</t>
  </si>
  <si>
    <t xml:space="preserve">Sub wildcards ALL?</t>
  </si>
  <si>
    <t xml:space="preserve">Unconstrained?</t>
  </si>
  <si>
    <t xml:space="preserve">Hardening issues</t>
  </si>
  <si>
    <t xml:space="preserve">Y</t>
  </si>
  <si>
    <t xml:space="preserve">sts.amazonaws.com</t>
  </si>
  <si>
    <t xml:space="preserve">sub uses StringLike wildcard covering all workflows in the repo</t>
  </si>
  <si>
    <t xml:space="preserve">N</t>
  </si>
  <si>
    <t xml:space="preserve">no aud condition — any OIDC audience accepted
no sub condition — any repo/branch/workflow can assume this role
max session &gt; 1h</t>
  </si>
  <si>
    <t xml:space="preserve">https://gitlab.com</t>
  </si>
  <si>
    <t xml:space="preserve">https://signin.aws.amazon.com/saml</t>
  </si>
  <si>
    <t xml:space="preserve">max session &gt; 1h</t>
  </si>
  <si>
    <t xml:space="preserve">OIDC + SAML identity providers</t>
  </si>
  <si>
    <t xml:space="preserve">Kind</t>
  </si>
  <si>
    <t xml:space="preserve">URL / ARN</t>
  </si>
  <si>
    <t xml:space="preserve">Client IDs / Audience</t>
  </si>
  <si>
    <t xml:space="preserve">Thumbprints / ValidUntil</t>
  </si>
  <si>
    <t xml:space="preserve">OIDC</t>
  </si>
  <si>
    <t xml:space="preserve">https://token.actions.githubusercontent.com</t>
  </si>
  <si>
    <t xml:space="preserve">2025-04-11T14:22:03Z</t>
  </si>
  <si>
    <t xml:space="preserve">6938fd4d98bab03faadb97b34396831e3780aea1</t>
  </si>
  <si>
    <t xml:space="preserve">2024-11-02T09:14:00Z</t>
  </si>
  <si>
    <t xml:space="preserve">a1b2c3d4e5f6a7b8c9d0e1f2a3b4c5d6e7f8a9b0</t>
  </si>
  <si>
    <t xml:space="preserve">https://oidc.eks.us-east-1.amazonaws.com/id/EXAMPLED539D4633E53DE1B71EXAMPLE</t>
  </si>
  <si>
    <t xml:space="preserve">2025-08-20T18:03:44Z</t>
  </si>
  <si>
    <t xml:space="preserve">9e99a48a9960b14926bb7f3b02e22da2b0ab7280</t>
  </si>
  <si>
    <t xml:space="preserve">SAML</t>
  </si>
  <si>
    <t xml:space="preserve">2024-05-10T12:00:00Z</t>
  </si>
  <si>
    <t xml:space="preserve">2034-05-10T12:00:00Z</t>
  </si>
  <si>
    <t xml:space="preserve">AssumeRoleWithWebIdentity events (last 90d, us-east-1 lookup)</t>
  </si>
  <si>
    <t xml:space="preserve">Events seen</t>
  </si>
  <si>
    <t xml:space="preserve">Last seen</t>
  </si>
  <si>
    <t xml:space="preserve">Last source IP</t>
  </si>
  <si>
    <t xml:space="preserve">Last errorCode</t>
  </si>
  <si>
    <t xml:space="preserve">2026-07-01T22:14:03Z</t>
  </si>
  <si>
    <t xml:space="preserve">140.82.112.10</t>
  </si>
  <si>
    <t xml:space="preserve">2026-06-28T09:11:44Z</t>
  </si>
  <si>
    <t xml:space="preserve">140.82.114.7</t>
  </si>
  <si>
    <t xml:space="preserve">How this report was built</t>
  </si>
  <si>
    <t xml:space="preserve">1. Provider enumeration</t>
  </si>
  <si>
    <t xml:space="preserve">   • iam:ListOpenIDConnectProviders + iam:GetOpenIDConnectProvider for each ARN.</t>
  </si>
  <si>
    <t xml:space="preserve">   • iam:ListSAMLProviders + iam:GetSAMLProvider for each ARN.</t>
  </si>
  <si>
    <t xml:space="preserve">   • Each provider URL is classified against a taxonomy of known issuers (GitHub Actions,</t>
  </si>
  <si>
    <t xml:space="preserve">     GitLab, CircleCI, Terraform Cloud, Bitbucket, Google, Cognito, EKS IRSA, Azure AD/Entra,</t>
  </si>
  <si>
    <t xml:space="preserve">     Okta, Auth0, Buildkite, Vault). Anything else is labeled 'Unknown / custom'.</t>
  </si>
  <si>
    <t xml:space="preserve">2. Role enumeration</t>
  </si>
  <si>
    <t xml:space="preserve">   • iam:ListRoles (paginated) returns every role in the account together with its</t>
  </si>
  <si>
    <t xml:space="preserve">     AssumeRolePolicyDocument (already URL-decoded by boto3) and its RoleLastUsed metadata.</t>
  </si>
  <si>
    <t xml:space="preserve">   • A role is considered federated if any Statement's Action includes</t>
  </si>
  <si>
    <t xml:space="preserve">     sts:AssumeRoleWithWebIdentity, sts:AssumeRoleWithSAML, or sts:*.</t>
  </si>
  <si>
    <t xml:space="preserve">3. Trust-policy hardening checks</t>
  </si>
  <si>
    <t xml:space="preserve">   • Presence of a token.actions.githubusercontent.com:aud condition (StringEquals).</t>
  </si>
  <si>
    <t xml:space="preserve">   • Presence of a *:sub condition. StringEquals is 'strict'; StringLike with a wildcard</t>
  </si>
  <si>
    <t xml:space="preserve">     is looser; the special pattern 'repo:org/repo:*' is flagged HIGH because it lets</t>
  </si>
  <si>
    <t xml:space="preserve">     every workflow / branch / environment in a repo assume the role.</t>
  </si>
  <si>
    <t xml:space="preserve">   • Roles with no aud AND no sub condition are flagged CRITICAL (unconstrained).</t>
  </si>
  <si>
    <t xml:space="preserve">4. Usage detection</t>
  </si>
  <si>
    <t xml:space="preserve">   • Primary signal: role.RoleLastUsed.LastUsedDate returned by iam:GetRole.</t>
  </si>
  <si>
    <t xml:space="preserve">     This is the same value the console shows on the 'Last activity' tile.</t>
  </si>
  <si>
    <t xml:space="preserve">   • Optional CloudTrail spot-check (only if --cloudtrail was passed to scan.py):</t>
  </si>
  <si>
    <t xml:space="preserve">     cloudtrail:LookupEvents in us-east-1 for EventName=AssumeRoleWithWebIdentity,</t>
  </si>
  <si>
    <t xml:space="preserve">     filtered client-side to roleArn == the role in question, over the last 90 days.</t>
  </si>
  <si>
    <t xml:space="preserve">     STS is a global service so events land in us-east-1 by default.</t>
  </si>
  <si>
    <t xml:space="preserve">5. Recommendation logic</t>
  </si>
  <si>
    <t xml:space="preserve">   • DELETE  — unconstrained trust policy, OR unused AND overly permissive, OR unused with no owner.</t>
  </si>
  <si>
    <t xml:space="preserve">   • TIGHTEN — has hardening_issues (missing aud, StringLike without wildcard, repo-wide wildcard).</t>
  </si>
  <si>
    <t xml:space="preserve">   • ADD     — otherwise-fine role missing a permissions boundary.</t>
  </si>
  <si>
    <t xml:space="preserve">   • OK      — passed all checks; review annually.</t>
  </si>
  <si>
    <t xml:space="preserve">6. Blind spots</t>
  </si>
  <si>
    <t xml:space="preserve">   • RoleLastUsed is populated on assumption, not on every API call. AWS docs note it can lag</t>
  </si>
  <si>
    <t xml:space="preserve">     up to 4 hours and does not go back beyond 400 days.</t>
  </si>
  <si>
    <t xml:space="preserve">   • CloudTrail LookupEvents caps at 50 events per query and 90 days of history; use CloudTrail</t>
  </si>
  <si>
    <t xml:space="preserve">     Lake or Athena on the trail's S3 destination for anything longer.</t>
  </si>
  <si>
    <t xml:space="preserve">   • This scan is single-account, single-region. For AWS Organizations, run per-account via</t>
  </si>
  <si>
    <t xml:space="preserve">     an org-wide read-only role (e.g. OrganizationAccountAccessRole assumed from the mgmt account).</t>
  </si>
  <si>
    <t xml:space="preserve">Sources:</t>
  </si>
  <si>
    <t xml:space="preserve">   • Boto3 IAM docs: https://boto3.amazonaws.com/v1/documentation/api/latest/reference/services/iam.html</t>
  </si>
  <si>
    <t xml:space="preserve">   • RoleLastUsed:   https://docs.aws.amazon.com/IAM/latest/APIReference/API_RoleLastUsed.html</t>
  </si>
  <si>
    <t xml:space="preserve">   • CloudTrail STS: https://docs.aws.amazon.com/IAM/latest/UserGuide/cloudtrail-integration.html</t>
  </si>
  <si>
    <t xml:space="preserve">   • GitHub OIDC:    https://docs.github.com/en/actions/deployment/security-hardening-your-deployments/configuring-openid-connect-in-amazon-web-services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</si>
</sst>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8251D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4D5D9"/>
        <bgColor rgb="FFF7E4D6"/>
      </patternFill>
    </fill>
    <fill>
      <patternFill patternType="solid">
        <fgColor rgb="FFF7E4D6"/>
        <bgColor rgb="FFF4D5D9"/>
      </patternFill>
    </fill>
    <fill>
      <patternFill patternType="solid">
        <fgColor rgb="FFFFF2C6"/>
        <bgColor rgb="FFF7E4D6"/>
      </patternFill>
    </fill>
    <fill>
      <patternFill patternType="solid">
        <fgColor rgb="FFE1EEDA"/>
        <bgColor rgb="FFF7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FF2C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EDA"/>
      <rgbColor rgb="FFF7E4D6"/>
      <rgbColor rgb="FF99CCFF"/>
      <rgbColor rgb="FFFF99CC"/>
      <rgbColor rgb="FFCC99FF"/>
      <rgbColor rgb="FFF4D5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10" customFormat="false" ht="15" hidden="false" customHeight="false" outlineLevel="0" collapsed="false">
      <c r="B10" s="4" t="s">
        <v>11</v>
      </c>
    </row>
    <row r="11" customFormat="false" ht="15" hidden="false" customHeight="false" outlineLevel="0" collapsed="false">
      <c r="B11" s="5" t="s">
        <v>12</v>
      </c>
      <c r="C11" s="6" t="n">
        <v>6</v>
      </c>
    </row>
    <row r="12" customFormat="false" ht="15" hidden="false" customHeight="false" outlineLevel="0" collapsed="false">
      <c r="B12" s="5" t="s">
        <v>13</v>
      </c>
      <c r="C12" s="6" t="n">
        <v>2</v>
      </c>
    </row>
    <row r="13" customFormat="false" ht="15" hidden="false" customHeight="false" outlineLevel="0" collapsed="false">
      <c r="B13" s="5" t="s">
        <v>14</v>
      </c>
      <c r="C13" s="6" t="n">
        <v>1</v>
      </c>
    </row>
    <row r="14" customFormat="false" ht="15" hidden="false" customHeight="false" outlineLevel="0" collapsed="false">
      <c r="B14" s="5" t="s">
        <v>15</v>
      </c>
      <c r="C14" s="6" t="n">
        <v>1</v>
      </c>
    </row>
    <row r="15" customFormat="false" ht="15" hidden="false" customHeight="false" outlineLevel="0" collapsed="false">
      <c r="B15" s="5" t="s">
        <v>16</v>
      </c>
      <c r="C15" s="6" t="n">
        <v>2</v>
      </c>
    </row>
    <row r="16" customFormat="false" ht="15" hidden="false" customHeight="false" outlineLevel="0" collapsed="false">
      <c r="B16" s="5" t="s">
        <v>17</v>
      </c>
      <c r="C16" s="6" t="n">
        <v>1</v>
      </c>
    </row>
    <row r="19" customFormat="false" ht="15" hidden="false" customHeight="false" outlineLevel="0" collapsed="false">
      <c r="B19" s="4" t="s">
        <v>18</v>
      </c>
    </row>
    <row r="20" customFormat="false" ht="15" hidden="false" customHeight="false" outlineLevel="0" collapsed="false">
      <c r="B20" s="7" t="s">
        <v>19</v>
      </c>
      <c r="C20" s="7" t="s">
        <v>20</v>
      </c>
    </row>
    <row r="21" customFormat="false" ht="15" hidden="false" customHeight="false" outlineLevel="0" collapsed="false">
      <c r="B21" s="8" t="s">
        <v>21</v>
      </c>
      <c r="C21" s="9" t="n">
        <v>3</v>
      </c>
    </row>
    <row r="22" customFormat="false" ht="15" hidden="false" customHeight="false" outlineLevel="0" collapsed="false">
      <c r="B22" s="8" t="s">
        <v>22</v>
      </c>
      <c r="C22" s="9" t="n">
        <v>1</v>
      </c>
    </row>
    <row r="23" customFormat="false" ht="15" hidden="false" customHeight="false" outlineLevel="0" collapsed="false">
      <c r="B23" s="8" t="s">
        <v>23</v>
      </c>
      <c r="C23" s="9" t="n">
        <v>1</v>
      </c>
    </row>
    <row r="24" customFormat="false" ht="15" hidden="false" customHeight="false" outlineLevel="0" collapsed="false">
      <c r="B24" s="8" t="s">
        <v>24</v>
      </c>
      <c r="C24" s="9" t="n">
        <v>1</v>
      </c>
    </row>
    <row r="27" customFormat="false" ht="15" hidden="false" customHeight="false" outlineLevel="0" collapsed="false">
      <c r="B27" s="4" t="s">
        <v>25</v>
      </c>
    </row>
    <row r="28" customFormat="false" ht="15" hidden="false" customHeight="false" outlineLevel="0" collapsed="false">
      <c r="B28" s="10" t="s">
        <v>26</v>
      </c>
      <c r="C28" s="11" t="s">
        <v>27</v>
      </c>
    </row>
    <row r="29" customFormat="false" ht="15" hidden="false" customHeight="false" outlineLevel="0" collapsed="false">
      <c r="B29" s="12" t="s">
        <v>28</v>
      </c>
      <c r="C29" s="11" t="s">
        <v>29</v>
      </c>
    </row>
    <row r="30" customFormat="false" ht="15" hidden="false" customHeight="false" outlineLevel="0" collapsed="false">
      <c r="B30" s="4" t="s">
        <v>30</v>
      </c>
      <c r="C30" s="11" t="s">
        <v>31</v>
      </c>
    </row>
    <row r="31" customFormat="false" ht="15" hidden="false" customHeight="false" outlineLevel="0" collapsed="false">
      <c r="B31" s="13" t="s">
        <v>32</v>
      </c>
      <c r="C31" s="11" t="s">
        <v>33</v>
      </c>
    </row>
    <row r="32" customFormat="false" ht="15" hidden="false" customHeight="false" outlineLevel="0" collapsed="false">
      <c r="B32" s="4" t="s">
        <v>34</v>
      </c>
      <c r="C32" s="11" t="s">
        <v>35</v>
      </c>
    </row>
    <row r="33" customFormat="false" ht="15" hidden="false" customHeight="false" outlineLevel="0" collapsed="false">
      <c r="B33" s="4" t="s">
        <v>36</v>
      </c>
      <c r="C33" s="11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40"/>
    <col collapsed="false" customWidth="true" hidden="false" outlineLevel="0" max="12" min="11" style="0" width="14"/>
    <col collapsed="false" customWidth="true" hidden="false" outlineLevel="0" max="13" min="13" style="0" width="45"/>
    <col collapsed="false" customWidth="true" hidden="false" outlineLevel="0" max="14" min="14" style="0" width="11"/>
    <col collapsed="false" customWidth="true" hidden="false" outlineLevel="0" max="15" min="15" style="0" width="50"/>
    <col collapsed="false" customWidth="true" hidden="false" outlineLevel="0" max="16" min="16" style="0" width="42"/>
  </cols>
  <sheetData>
    <row r="2" customFormat="false" ht="17.35" hidden="false" customHeight="false" outlineLevel="0" collapsed="false">
      <c r="B2" s="1" t="s">
        <v>38</v>
      </c>
    </row>
    <row r="3" customFormat="false" ht="15" hidden="false" customHeight="false" outlineLevel="0" collapsed="false">
      <c r="B3" s="4" t="s">
        <v>39</v>
      </c>
      <c r="C3" s="14" t="n">
        <f aca="false">COUNTA(B5:B10)</f>
        <v>6</v>
      </c>
      <c r="D3" s="4" t="s">
        <v>40</v>
      </c>
      <c r="E3" s="14" t="n">
        <f aca="false">COUNTIF(P5:P10,"DELETE*")</f>
        <v>2</v>
      </c>
      <c r="F3" s="4" t="s">
        <v>41</v>
      </c>
      <c r="G3" s="14" t="n">
        <f aca="false">COUNTIF(P5:P10,"TIGHTEN*")</f>
        <v>1</v>
      </c>
    </row>
    <row r="4" customFormat="false" ht="28.35" hidden="false" customHeight="false" outlineLevel="0" collapsed="false">
      <c r="A4" s="7"/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  <c r="N4" s="7" t="s">
        <v>54</v>
      </c>
      <c r="O4" s="7" t="s">
        <v>55</v>
      </c>
      <c r="P4" s="7" t="s">
        <v>56</v>
      </c>
    </row>
    <row r="5" customFormat="false" ht="46.25" hidden="false" customHeight="false" outlineLevel="0" collapsed="false">
      <c r="B5" s="15" t="s">
        <v>57</v>
      </c>
      <c r="C5" s="16" t="s">
        <v>58</v>
      </c>
      <c r="D5" s="15" t="s">
        <v>21</v>
      </c>
      <c r="E5" s="16" t="s">
        <v>59</v>
      </c>
      <c r="F5" s="15" t="n">
        <v>132</v>
      </c>
      <c r="G5" s="15" t="s">
        <v>60</v>
      </c>
      <c r="H5" s="16" t="s">
        <v>61</v>
      </c>
      <c r="I5" s="15" t="n">
        <v>14400</v>
      </c>
      <c r="J5" s="15" t="s">
        <v>62</v>
      </c>
      <c r="K5" s="15" t="s">
        <v>62</v>
      </c>
      <c r="L5" s="15" t="s">
        <v>62</v>
      </c>
      <c r="M5" s="15" t="s">
        <v>62</v>
      </c>
      <c r="N5" s="9" t="n">
        <v>190</v>
      </c>
      <c r="O5" s="16" t="s">
        <v>63</v>
      </c>
      <c r="P5" s="17" t="s">
        <v>64</v>
      </c>
    </row>
    <row r="6" customFormat="false" ht="23.85" hidden="false" customHeight="false" outlineLevel="0" collapsed="false">
      <c r="B6" s="16" t="s">
        <v>65</v>
      </c>
      <c r="C6" s="16" t="s">
        <v>66</v>
      </c>
      <c r="D6" s="15" t="s">
        <v>21</v>
      </c>
      <c r="E6" s="16" t="s">
        <v>59</v>
      </c>
      <c r="F6" s="15" t="n">
        <v>4</v>
      </c>
      <c r="G6" s="15" t="s">
        <v>60</v>
      </c>
      <c r="H6" s="16" t="s">
        <v>67</v>
      </c>
      <c r="I6" s="15" t="n">
        <v>3600</v>
      </c>
      <c r="J6" s="15" t="s">
        <v>62</v>
      </c>
      <c r="K6" s="15" t="s">
        <v>68</v>
      </c>
      <c r="L6" s="15" t="s">
        <v>69</v>
      </c>
      <c r="M6" s="16" t="s">
        <v>70</v>
      </c>
      <c r="N6" s="9" t="n">
        <v>55</v>
      </c>
      <c r="O6" s="16" t="s">
        <v>71</v>
      </c>
      <c r="P6" s="18" t="s">
        <v>72</v>
      </c>
    </row>
    <row r="7" customFormat="false" ht="23.85" hidden="false" customHeight="false" outlineLevel="0" collapsed="false">
      <c r="B7" s="16" t="s">
        <v>73</v>
      </c>
      <c r="C7" s="16" t="s">
        <v>74</v>
      </c>
      <c r="D7" s="15" t="s">
        <v>22</v>
      </c>
      <c r="E7" s="15" t="s">
        <v>75</v>
      </c>
      <c r="F7" s="15" t="n">
        <v>213</v>
      </c>
      <c r="G7" s="15" t="s">
        <v>76</v>
      </c>
      <c r="H7" s="16" t="s">
        <v>77</v>
      </c>
      <c r="I7" s="15" t="n">
        <v>3600</v>
      </c>
      <c r="J7" s="16" t="s">
        <v>78</v>
      </c>
      <c r="K7" s="15" t="s">
        <v>68</v>
      </c>
      <c r="L7" s="15" t="s">
        <v>68</v>
      </c>
      <c r="M7" s="16" t="s">
        <v>79</v>
      </c>
      <c r="N7" s="9" t="n">
        <v>30</v>
      </c>
      <c r="O7" s="15" t="s">
        <v>80</v>
      </c>
      <c r="P7" s="17" t="s">
        <v>81</v>
      </c>
    </row>
    <row r="8" customFormat="false" ht="23.85" hidden="false" customHeight="false" outlineLevel="0" collapsed="false">
      <c r="B8" s="16" t="s">
        <v>82</v>
      </c>
      <c r="C8" s="16" t="s">
        <v>83</v>
      </c>
      <c r="D8" s="15" t="s">
        <v>24</v>
      </c>
      <c r="E8" s="16" t="s">
        <v>84</v>
      </c>
      <c r="F8" s="15" t="n">
        <v>2</v>
      </c>
      <c r="G8" s="15" t="s">
        <v>60</v>
      </c>
      <c r="H8" s="16" t="s">
        <v>85</v>
      </c>
      <c r="I8" s="15" t="n">
        <v>7200</v>
      </c>
      <c r="J8" s="15" t="s">
        <v>62</v>
      </c>
      <c r="K8" s="15" t="s">
        <v>68</v>
      </c>
      <c r="L8" s="15" t="s">
        <v>62</v>
      </c>
      <c r="M8" s="15" t="s">
        <v>62</v>
      </c>
      <c r="N8" s="9" t="n">
        <v>15</v>
      </c>
      <c r="O8" s="16" t="s">
        <v>86</v>
      </c>
      <c r="P8" s="19" t="s">
        <v>87</v>
      </c>
    </row>
    <row r="9" customFormat="false" ht="23.85" hidden="false" customHeight="false" outlineLevel="0" collapsed="false">
      <c r="B9" s="16" t="s">
        <v>88</v>
      </c>
      <c r="C9" s="16" t="s">
        <v>89</v>
      </c>
      <c r="D9" s="15" t="s">
        <v>21</v>
      </c>
      <c r="E9" s="16" t="s">
        <v>59</v>
      </c>
      <c r="F9" s="15" t="n">
        <v>1</v>
      </c>
      <c r="G9" s="15" t="s">
        <v>60</v>
      </c>
      <c r="H9" s="16" t="s">
        <v>90</v>
      </c>
      <c r="I9" s="15" t="n">
        <v>3600</v>
      </c>
      <c r="J9" s="16" t="s">
        <v>91</v>
      </c>
      <c r="K9" s="15" t="s">
        <v>68</v>
      </c>
      <c r="L9" s="15" t="s">
        <v>68</v>
      </c>
      <c r="M9" s="16" t="s">
        <v>92</v>
      </c>
      <c r="N9" s="9" t="n">
        <v>0</v>
      </c>
      <c r="O9" s="15" t="s">
        <v>62</v>
      </c>
      <c r="P9" s="20" t="s">
        <v>93</v>
      </c>
    </row>
    <row r="10" customFormat="false" ht="23.85" hidden="false" customHeight="false" outlineLevel="0" collapsed="false">
      <c r="B10" s="16" t="s">
        <v>94</v>
      </c>
      <c r="C10" s="16" t="s">
        <v>95</v>
      </c>
      <c r="D10" s="15" t="s">
        <v>23</v>
      </c>
      <c r="E10" s="16" t="s">
        <v>96</v>
      </c>
      <c r="F10" s="15" t="n">
        <v>0</v>
      </c>
      <c r="G10" s="15" t="s">
        <v>60</v>
      </c>
      <c r="H10" s="16" t="s">
        <v>97</v>
      </c>
      <c r="I10" s="15" t="n">
        <v>3600</v>
      </c>
      <c r="J10" s="16" t="s">
        <v>91</v>
      </c>
      <c r="K10" s="15" t="s">
        <v>68</v>
      </c>
      <c r="L10" s="15" t="s">
        <v>68</v>
      </c>
      <c r="M10" s="16" t="s">
        <v>98</v>
      </c>
      <c r="N10" s="9" t="n">
        <v>0</v>
      </c>
      <c r="O10" s="15" t="s">
        <v>62</v>
      </c>
      <c r="P10" s="20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18"/>
    <col collapsed="false" customWidth="true" hidden="false" outlineLevel="0" max="7" min="7" style="0" width="30"/>
    <col collapsed="false" customWidth="true" hidden="false" outlineLevel="0" max="12" min="8" style="0" width="18"/>
    <col collapsed="false" customWidth="true" hidden="false" outlineLevel="0" max="13" min="13" style="0" width="50"/>
    <col collapsed="false" customWidth="true" hidden="false" outlineLevel="0" max="14" min="14" style="0" width="18"/>
  </cols>
  <sheetData>
    <row r="2" customFormat="false" ht="17.35" hidden="false" customHeight="false" outlineLevel="0" collapsed="false">
      <c r="B2" s="1" t="s">
        <v>99</v>
      </c>
    </row>
    <row r="4" customFormat="false" ht="15" hidden="false" customHeight="false" outlineLevel="0" collapsed="false">
      <c r="A4" s="7"/>
      <c r="B4" s="7" t="s">
        <v>42</v>
      </c>
      <c r="C4" s="7" t="s">
        <v>100</v>
      </c>
      <c r="D4" s="7" t="s">
        <v>101</v>
      </c>
      <c r="E4" s="7" t="s">
        <v>102</v>
      </c>
      <c r="F4" s="7" t="s">
        <v>51</v>
      </c>
      <c r="G4" s="7" t="s">
        <v>103</v>
      </c>
      <c r="H4" s="7" t="s">
        <v>104</v>
      </c>
      <c r="I4" s="7" t="s">
        <v>52</v>
      </c>
      <c r="J4" s="7" t="s">
        <v>105</v>
      </c>
      <c r="K4" s="7" t="s">
        <v>106</v>
      </c>
      <c r="L4" s="7" t="s">
        <v>107</v>
      </c>
      <c r="M4" s="7" t="s">
        <v>108</v>
      </c>
    </row>
    <row r="5" customFormat="false" ht="15" hidden="false" customHeight="false" outlineLevel="0" collapsed="false">
      <c r="B5" s="15" t="s">
        <v>88</v>
      </c>
      <c r="C5" s="15" t="s">
        <v>109</v>
      </c>
      <c r="D5" s="15" t="s">
        <v>62</v>
      </c>
      <c r="E5" s="15" t="s">
        <v>109</v>
      </c>
      <c r="F5" s="15" t="s">
        <v>68</v>
      </c>
      <c r="G5" s="16" t="s">
        <v>110</v>
      </c>
      <c r="H5" s="15" t="s">
        <v>109</v>
      </c>
      <c r="I5" s="15" t="s">
        <v>68</v>
      </c>
      <c r="J5" s="15" t="s">
        <v>62</v>
      </c>
      <c r="K5" s="15" t="s">
        <v>62</v>
      </c>
      <c r="L5" s="15" t="s">
        <v>62</v>
      </c>
      <c r="M5" s="16" t="s">
        <v>62</v>
      </c>
    </row>
    <row r="6" customFormat="false" ht="15" hidden="false" customHeight="false" outlineLevel="0" collapsed="false">
      <c r="B6" s="15" t="s">
        <v>65</v>
      </c>
      <c r="C6" s="15" t="s">
        <v>109</v>
      </c>
      <c r="D6" s="15" t="s">
        <v>62</v>
      </c>
      <c r="E6" s="15" t="s">
        <v>109</v>
      </c>
      <c r="F6" s="15" t="s">
        <v>68</v>
      </c>
      <c r="G6" s="16" t="s">
        <v>110</v>
      </c>
      <c r="H6" s="15" t="s">
        <v>109</v>
      </c>
      <c r="I6" s="15" t="s">
        <v>69</v>
      </c>
      <c r="J6" s="15" t="s">
        <v>109</v>
      </c>
      <c r="K6" s="15" t="s">
        <v>62</v>
      </c>
      <c r="L6" s="15" t="s">
        <v>62</v>
      </c>
      <c r="M6" s="16" t="s">
        <v>111</v>
      </c>
    </row>
    <row r="7" customFormat="false" ht="46.25" hidden="false" customHeight="false" outlineLevel="0" collapsed="false">
      <c r="B7" s="21" t="s">
        <v>57</v>
      </c>
      <c r="C7" s="21" t="s">
        <v>109</v>
      </c>
      <c r="D7" s="21" t="s">
        <v>62</v>
      </c>
      <c r="E7" s="21" t="s">
        <v>112</v>
      </c>
      <c r="F7" s="21" t="s">
        <v>62</v>
      </c>
      <c r="G7" s="22" t="s">
        <v>62</v>
      </c>
      <c r="H7" s="21" t="s">
        <v>112</v>
      </c>
      <c r="I7" s="21" t="s">
        <v>62</v>
      </c>
      <c r="J7" s="21" t="s">
        <v>62</v>
      </c>
      <c r="K7" s="21" t="s">
        <v>109</v>
      </c>
      <c r="L7" s="21" t="s">
        <v>109</v>
      </c>
      <c r="M7" s="22" t="s">
        <v>113</v>
      </c>
    </row>
    <row r="8" customFormat="false" ht="15" hidden="false" customHeight="false" outlineLevel="0" collapsed="false">
      <c r="B8" s="15" t="s">
        <v>73</v>
      </c>
      <c r="C8" s="15" t="s">
        <v>109</v>
      </c>
      <c r="D8" s="15" t="s">
        <v>62</v>
      </c>
      <c r="E8" s="15" t="s">
        <v>109</v>
      </c>
      <c r="F8" s="15" t="s">
        <v>68</v>
      </c>
      <c r="G8" s="16" t="s">
        <v>114</v>
      </c>
      <c r="H8" s="15" t="s">
        <v>109</v>
      </c>
      <c r="I8" s="15" t="s">
        <v>68</v>
      </c>
      <c r="J8" s="15" t="s">
        <v>62</v>
      </c>
      <c r="K8" s="15" t="s">
        <v>62</v>
      </c>
      <c r="L8" s="15" t="s">
        <v>62</v>
      </c>
      <c r="M8" s="16" t="s">
        <v>62</v>
      </c>
    </row>
    <row r="9" customFormat="false" ht="15" hidden="false" customHeight="false" outlineLevel="0" collapsed="false">
      <c r="B9" s="15" t="s">
        <v>94</v>
      </c>
      <c r="C9" s="15" t="s">
        <v>109</v>
      </c>
      <c r="D9" s="15" t="s">
        <v>62</v>
      </c>
      <c r="E9" s="15" t="s">
        <v>109</v>
      </c>
      <c r="F9" s="15" t="s">
        <v>68</v>
      </c>
      <c r="G9" s="16" t="s">
        <v>110</v>
      </c>
      <c r="H9" s="15" t="s">
        <v>109</v>
      </c>
      <c r="I9" s="15" t="s">
        <v>68</v>
      </c>
      <c r="J9" s="15" t="s">
        <v>62</v>
      </c>
      <c r="K9" s="15" t="s">
        <v>62</v>
      </c>
      <c r="L9" s="15" t="s">
        <v>62</v>
      </c>
      <c r="M9" s="16" t="s">
        <v>62</v>
      </c>
    </row>
    <row r="10" customFormat="false" ht="15" hidden="false" customHeight="false" outlineLevel="0" collapsed="false">
      <c r="B10" s="15" t="s">
        <v>82</v>
      </c>
      <c r="C10" s="15" t="s">
        <v>62</v>
      </c>
      <c r="D10" s="15" t="s">
        <v>109</v>
      </c>
      <c r="E10" s="15" t="s">
        <v>109</v>
      </c>
      <c r="F10" s="15" t="s">
        <v>68</v>
      </c>
      <c r="G10" s="16" t="s">
        <v>115</v>
      </c>
      <c r="H10" s="15" t="s">
        <v>112</v>
      </c>
      <c r="I10" s="15" t="s">
        <v>62</v>
      </c>
      <c r="J10" s="15" t="s">
        <v>62</v>
      </c>
      <c r="K10" s="15" t="s">
        <v>62</v>
      </c>
      <c r="L10" s="15" t="s">
        <v>62</v>
      </c>
      <c r="M10" s="16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62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50"/>
  </cols>
  <sheetData>
    <row r="2" customFormat="false" ht="17.35" hidden="false" customHeight="false" outlineLevel="0" collapsed="false">
      <c r="B2" s="1" t="s">
        <v>117</v>
      </c>
    </row>
    <row r="4" customFormat="false" ht="15" hidden="false" customHeight="false" outlineLevel="0" collapsed="false">
      <c r="A4" s="7"/>
      <c r="B4" s="7" t="s">
        <v>118</v>
      </c>
      <c r="C4" s="7" t="s">
        <v>44</v>
      </c>
      <c r="D4" s="7" t="s">
        <v>119</v>
      </c>
      <c r="E4" s="7" t="s">
        <v>120</v>
      </c>
      <c r="F4" s="7" t="s">
        <v>48</v>
      </c>
      <c r="G4" s="7" t="s">
        <v>121</v>
      </c>
    </row>
    <row r="5" customFormat="false" ht="15" hidden="false" customHeight="false" outlineLevel="0" collapsed="false">
      <c r="B5" s="16" t="s">
        <v>122</v>
      </c>
      <c r="C5" s="16" t="s">
        <v>21</v>
      </c>
      <c r="D5" s="16" t="s">
        <v>123</v>
      </c>
      <c r="E5" s="16" t="s">
        <v>110</v>
      </c>
      <c r="F5" s="16" t="s">
        <v>124</v>
      </c>
      <c r="G5" s="16" t="s">
        <v>125</v>
      </c>
    </row>
    <row r="6" customFormat="false" ht="15" hidden="false" customHeight="false" outlineLevel="0" collapsed="false">
      <c r="B6" s="16" t="s">
        <v>122</v>
      </c>
      <c r="C6" s="16" t="s">
        <v>22</v>
      </c>
      <c r="D6" s="16" t="s">
        <v>114</v>
      </c>
      <c r="E6" s="16" t="s">
        <v>114</v>
      </c>
      <c r="F6" s="16" t="s">
        <v>126</v>
      </c>
      <c r="G6" s="16" t="s">
        <v>127</v>
      </c>
    </row>
    <row r="7" customFormat="false" ht="23.85" hidden="false" customHeight="false" outlineLevel="0" collapsed="false">
      <c r="B7" s="16" t="s">
        <v>122</v>
      </c>
      <c r="C7" s="16" t="s">
        <v>23</v>
      </c>
      <c r="D7" s="16" t="s">
        <v>128</v>
      </c>
      <c r="E7" s="16" t="s">
        <v>110</v>
      </c>
      <c r="F7" s="16" t="s">
        <v>129</v>
      </c>
      <c r="G7" s="16" t="s">
        <v>130</v>
      </c>
    </row>
    <row r="8" customFormat="false" ht="15" hidden="false" customHeight="false" outlineLevel="0" collapsed="false">
      <c r="B8" s="16" t="s">
        <v>131</v>
      </c>
      <c r="C8" s="16" t="s">
        <v>24</v>
      </c>
      <c r="D8" s="16" t="s">
        <v>84</v>
      </c>
      <c r="E8" s="16" t="s">
        <v>62</v>
      </c>
      <c r="F8" s="16" t="s">
        <v>132</v>
      </c>
      <c r="G8" s="1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</cols>
  <sheetData>
    <row r="2" customFormat="false" ht="17.35" hidden="false" customHeight="false" outlineLevel="0" collapsed="false">
      <c r="B2" s="1" t="s">
        <v>134</v>
      </c>
    </row>
    <row r="4" customFormat="false" ht="15" hidden="false" customHeight="false" outlineLevel="0" collapsed="false">
      <c r="A4" s="7"/>
      <c r="B4" s="7" t="s">
        <v>42</v>
      </c>
      <c r="C4" s="7" t="s">
        <v>43</v>
      </c>
      <c r="D4" s="7" t="s">
        <v>135</v>
      </c>
      <c r="E4" s="7" t="s">
        <v>136</v>
      </c>
      <c r="F4" s="7" t="s">
        <v>137</v>
      </c>
      <c r="G4" s="7" t="s">
        <v>138</v>
      </c>
    </row>
    <row r="5" customFormat="false" ht="15" hidden="false" customHeight="false" outlineLevel="0" collapsed="false">
      <c r="B5" s="16" t="s">
        <v>88</v>
      </c>
      <c r="C5" s="16" t="s">
        <v>89</v>
      </c>
      <c r="D5" s="9" t="n">
        <v>47</v>
      </c>
      <c r="E5" s="16" t="s">
        <v>139</v>
      </c>
      <c r="F5" s="16" t="s">
        <v>140</v>
      </c>
      <c r="G5" s="16" t="s">
        <v>62</v>
      </c>
    </row>
    <row r="6" customFormat="false" ht="15" hidden="false" customHeight="false" outlineLevel="0" collapsed="false">
      <c r="B6" s="16" t="s">
        <v>65</v>
      </c>
      <c r="C6" s="16" t="s">
        <v>66</v>
      </c>
      <c r="D6" s="9" t="n">
        <v>12</v>
      </c>
      <c r="E6" s="16" t="s">
        <v>141</v>
      </c>
      <c r="F6" s="16" t="s">
        <v>142</v>
      </c>
      <c r="G6" s="16" t="s">
        <v>62</v>
      </c>
    </row>
    <row r="7" customFormat="false" ht="15" hidden="false" customHeight="false" outlineLevel="0" collapsed="false">
      <c r="B7" s="19" t="s">
        <v>57</v>
      </c>
      <c r="C7" s="19" t="s">
        <v>58</v>
      </c>
      <c r="D7" s="23" t="n">
        <v>0</v>
      </c>
      <c r="E7" s="19" t="s">
        <v>62</v>
      </c>
      <c r="F7" s="19" t="s">
        <v>62</v>
      </c>
      <c r="G7" s="19" t="s">
        <v>62</v>
      </c>
    </row>
    <row r="8" customFormat="false" ht="15" hidden="false" customHeight="false" outlineLevel="0" collapsed="false">
      <c r="B8" s="19" t="s">
        <v>73</v>
      </c>
      <c r="C8" s="19" t="s">
        <v>74</v>
      </c>
      <c r="D8" s="23" t="n">
        <v>0</v>
      </c>
      <c r="E8" s="19" t="s">
        <v>62</v>
      </c>
      <c r="F8" s="19" t="s">
        <v>62</v>
      </c>
      <c r="G8" s="19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143</v>
      </c>
    </row>
    <row r="3" customFormat="false" ht="15" hidden="false" customHeight="false" outlineLevel="0" collapsed="false">
      <c r="B3" s="11"/>
    </row>
    <row r="4" customFormat="false" ht="15" hidden="false" customHeight="false" outlineLevel="0" collapsed="false">
      <c r="B4" s="2" t="s">
        <v>144</v>
      </c>
    </row>
    <row r="5" customFormat="false" ht="15" hidden="false" customHeight="false" outlineLevel="0" collapsed="false">
      <c r="B5" s="11" t="s">
        <v>145</v>
      </c>
    </row>
    <row r="6" customFormat="false" ht="15" hidden="false" customHeight="false" outlineLevel="0" collapsed="false">
      <c r="B6" s="11" t="s">
        <v>146</v>
      </c>
    </row>
    <row r="7" customFormat="false" ht="15" hidden="false" customHeight="false" outlineLevel="0" collapsed="false">
      <c r="B7" s="11" t="s">
        <v>147</v>
      </c>
    </row>
    <row r="8" customFormat="false" ht="15" hidden="false" customHeight="false" outlineLevel="0" collapsed="false">
      <c r="B8" s="11" t="s">
        <v>148</v>
      </c>
    </row>
    <row r="9" customFormat="false" ht="15" hidden="false" customHeight="false" outlineLevel="0" collapsed="false">
      <c r="B9" s="11" t="s">
        <v>149</v>
      </c>
    </row>
    <row r="10" customFormat="false" ht="15" hidden="false" customHeight="false" outlineLevel="0" collapsed="false">
      <c r="B10" s="11"/>
    </row>
    <row r="11" customFormat="false" ht="15" hidden="false" customHeight="false" outlineLevel="0" collapsed="false">
      <c r="B11" s="2" t="s">
        <v>150</v>
      </c>
    </row>
    <row r="12" customFormat="false" ht="15" hidden="false" customHeight="false" outlineLevel="0" collapsed="false">
      <c r="B12" s="11" t="s">
        <v>151</v>
      </c>
    </row>
    <row r="13" customFormat="false" ht="15" hidden="false" customHeight="false" outlineLevel="0" collapsed="false">
      <c r="B13" s="11" t="s">
        <v>152</v>
      </c>
    </row>
    <row r="14" customFormat="false" ht="15" hidden="false" customHeight="false" outlineLevel="0" collapsed="false">
      <c r="B14" s="11" t="s">
        <v>153</v>
      </c>
    </row>
    <row r="15" customFormat="false" ht="15" hidden="false" customHeight="false" outlineLevel="0" collapsed="false">
      <c r="B15" s="11" t="s">
        <v>154</v>
      </c>
    </row>
    <row r="16" customFormat="false" ht="15" hidden="false" customHeight="false" outlineLevel="0" collapsed="false">
      <c r="B16" s="11"/>
    </row>
    <row r="17" customFormat="false" ht="15" hidden="false" customHeight="false" outlineLevel="0" collapsed="false">
      <c r="B17" s="2" t="s">
        <v>155</v>
      </c>
    </row>
    <row r="18" customFormat="false" ht="15" hidden="false" customHeight="false" outlineLevel="0" collapsed="false">
      <c r="B18" s="11" t="s">
        <v>156</v>
      </c>
    </row>
    <row r="19" customFormat="false" ht="15" hidden="false" customHeight="false" outlineLevel="0" collapsed="false">
      <c r="B19" s="11" t="s">
        <v>157</v>
      </c>
    </row>
    <row r="20" customFormat="false" ht="15" hidden="false" customHeight="false" outlineLevel="0" collapsed="false">
      <c r="B20" s="11" t="s">
        <v>158</v>
      </c>
    </row>
    <row r="21" customFormat="false" ht="15" hidden="false" customHeight="false" outlineLevel="0" collapsed="false">
      <c r="B21" s="11" t="s">
        <v>159</v>
      </c>
    </row>
    <row r="22" customFormat="false" ht="15" hidden="false" customHeight="false" outlineLevel="0" collapsed="false">
      <c r="B22" s="11" t="s">
        <v>160</v>
      </c>
    </row>
    <row r="23" customFormat="false" ht="15" hidden="false" customHeight="false" outlineLevel="0" collapsed="false">
      <c r="B23" s="11"/>
    </row>
    <row r="24" customFormat="false" ht="15" hidden="false" customHeight="false" outlineLevel="0" collapsed="false">
      <c r="B24" s="2" t="s">
        <v>161</v>
      </c>
    </row>
    <row r="25" customFormat="false" ht="15" hidden="false" customHeight="false" outlineLevel="0" collapsed="false">
      <c r="B25" s="11" t="s">
        <v>162</v>
      </c>
    </row>
    <row r="26" customFormat="false" ht="15" hidden="false" customHeight="false" outlineLevel="0" collapsed="false">
      <c r="B26" s="11" t="s">
        <v>163</v>
      </c>
    </row>
    <row r="27" customFormat="false" ht="15" hidden="false" customHeight="false" outlineLevel="0" collapsed="false">
      <c r="B27" s="11" t="s">
        <v>164</v>
      </c>
    </row>
    <row r="28" customFormat="false" ht="15" hidden="false" customHeight="false" outlineLevel="0" collapsed="false">
      <c r="B28" s="11" t="s">
        <v>165</v>
      </c>
    </row>
    <row r="29" customFormat="false" ht="15" hidden="false" customHeight="false" outlineLevel="0" collapsed="false">
      <c r="B29" s="11" t="s">
        <v>166</v>
      </c>
    </row>
    <row r="30" customFormat="false" ht="15" hidden="false" customHeight="false" outlineLevel="0" collapsed="false">
      <c r="B30" s="11" t="s">
        <v>167</v>
      </c>
    </row>
    <row r="31" customFormat="false" ht="15" hidden="false" customHeight="false" outlineLevel="0" collapsed="false">
      <c r="B31" s="11"/>
    </row>
    <row r="32" customFormat="false" ht="15" hidden="false" customHeight="false" outlineLevel="0" collapsed="false">
      <c r="B32" s="2" t="s">
        <v>168</v>
      </c>
    </row>
    <row r="33" customFormat="false" ht="15" hidden="false" customHeight="false" outlineLevel="0" collapsed="false">
      <c r="B33" s="11" t="s">
        <v>169</v>
      </c>
    </row>
    <row r="34" customFormat="false" ht="15" hidden="false" customHeight="false" outlineLevel="0" collapsed="false">
      <c r="B34" s="11" t="s">
        <v>170</v>
      </c>
    </row>
    <row r="35" customFormat="false" ht="15" hidden="false" customHeight="false" outlineLevel="0" collapsed="false">
      <c r="B35" s="11" t="s">
        <v>171</v>
      </c>
    </row>
    <row r="36" customFormat="false" ht="15" hidden="false" customHeight="false" outlineLevel="0" collapsed="false">
      <c r="B36" s="11" t="s">
        <v>172</v>
      </c>
    </row>
    <row r="37" customFormat="false" ht="15" hidden="false" customHeight="false" outlineLevel="0" collapsed="false">
      <c r="B37" s="11"/>
    </row>
    <row r="38" customFormat="false" ht="15" hidden="false" customHeight="false" outlineLevel="0" collapsed="false">
      <c r="B38" s="2" t="s">
        <v>173</v>
      </c>
    </row>
    <row r="39" customFormat="false" ht="15" hidden="false" customHeight="false" outlineLevel="0" collapsed="false">
      <c r="B39" s="11" t="s">
        <v>174</v>
      </c>
    </row>
    <row r="40" customFormat="false" ht="15" hidden="false" customHeight="false" outlineLevel="0" collapsed="false">
      <c r="B40" s="11" t="s">
        <v>175</v>
      </c>
    </row>
    <row r="41" customFormat="false" ht="15" hidden="false" customHeight="false" outlineLevel="0" collapsed="false">
      <c r="B41" s="11" t="s">
        <v>176</v>
      </c>
    </row>
    <row r="42" customFormat="false" ht="15" hidden="false" customHeight="false" outlineLevel="0" collapsed="false">
      <c r="B42" s="11" t="s">
        <v>177</v>
      </c>
    </row>
    <row r="43" customFormat="false" ht="15" hidden="false" customHeight="false" outlineLevel="0" collapsed="false">
      <c r="B43" s="11" t="s">
        <v>178</v>
      </c>
    </row>
    <row r="44" customFormat="false" ht="15" hidden="false" customHeight="false" outlineLevel="0" collapsed="false">
      <c r="B44" s="11" t="s">
        <v>179</v>
      </c>
    </row>
    <row r="45" customFormat="false" ht="15" hidden="false" customHeight="false" outlineLevel="0" collapsed="false">
      <c r="B45" s="11"/>
    </row>
    <row r="46" customFormat="false" ht="15" hidden="false" customHeight="false" outlineLevel="0" collapsed="false">
      <c r="B46" s="2" t="s">
        <v>180</v>
      </c>
    </row>
    <row r="47" customFormat="false" ht="15" hidden="false" customHeight="false" outlineLevel="0" collapsed="false">
      <c r="B47" s="11" t="s">
        <v>181</v>
      </c>
    </row>
    <row r="48" customFormat="false" ht="15" hidden="false" customHeight="false" outlineLevel="0" collapsed="false">
      <c r="B48" s="11" t="s">
        <v>182</v>
      </c>
    </row>
    <row r="49" customFormat="false" ht="15" hidden="false" customHeight="false" outlineLevel="0" collapsed="false">
      <c r="B49" s="11" t="s">
        <v>183</v>
      </c>
    </row>
    <row r="50" customFormat="false" ht="23.85" hidden="false" customHeight="false" outlineLevel="0" collapsed="false">
      <c r="B50" s="11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2026-07-02T08:28:26Z</dcterms:created>
  <dc:creator>openpyxl</dc:creator>
  <dc:description/>
  <dc:language>en-US</dc:language>
  <cp:lastModifiedBy/>
  <dcterms:modified xsi:type="dcterms:W3CDTF">2026-07-02T08:28:26Z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